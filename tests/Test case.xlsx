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anielpert\circulytics_calculator\tests\"/>
    </mc:Choice>
  </mc:AlternateContent>
  <xr:revisionPtr revIDLastSave="0" documentId="13_ncr:1_{BD1EDD23-03B3-48AF-B7A6-6189A378EE9D}" xr6:coauthVersionLast="47" xr6:coauthVersionMax="47" xr10:uidLastSave="{00000000-0000-0000-0000-000000000000}"/>
  <bookViews>
    <workbookView xWindow="-96" yWindow="-96" windowWidth="23232" windowHeight="12432" xr2:uid="{7CEE43CF-3C6E-49A2-BCEF-B05159AE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6" i="1"/>
  <c r="C25" i="1"/>
  <c r="C24" i="1"/>
  <c r="C23" i="1"/>
  <c r="C22" i="1"/>
  <c r="C21" i="1"/>
  <c r="C20" i="1"/>
  <c r="C19" i="1"/>
  <c r="C18" i="1"/>
  <c r="B27" i="1"/>
  <c r="B24" i="1"/>
  <c r="AB4" i="1"/>
  <c r="AC4" i="1" s="1"/>
  <c r="AB5" i="1"/>
  <c r="AC5" i="1" s="1"/>
  <c r="AB6" i="1"/>
  <c r="AC6" i="1" s="1"/>
  <c r="AB3" i="1"/>
  <c r="AC3" i="1" s="1"/>
  <c r="X4" i="1"/>
  <c r="W12" i="1"/>
  <c r="W7" i="1"/>
  <c r="W11" i="1"/>
  <c r="X11" i="1" s="1"/>
  <c r="W10" i="1"/>
  <c r="X10" i="1" s="1"/>
  <c r="W8" i="1"/>
  <c r="X8" i="1" s="1"/>
  <c r="W9" i="1"/>
  <c r="X9" i="1" s="1"/>
  <c r="W6" i="1"/>
  <c r="X6" i="1" s="1"/>
  <c r="W5" i="1"/>
  <c r="X5" i="1" s="1"/>
  <c r="W3" i="1"/>
  <c r="X3" i="1" s="1"/>
  <c r="O9" i="1"/>
  <c r="P7" i="1" s="1"/>
  <c r="Q7" i="1" s="1"/>
  <c r="L7" i="1"/>
  <c r="L6" i="1"/>
  <c r="L5" i="1"/>
  <c r="L4" i="1"/>
  <c r="L3" i="1"/>
  <c r="H14" i="1"/>
  <c r="B21" i="1" s="1"/>
  <c r="D14" i="1"/>
  <c r="B19" i="1" s="1"/>
  <c r="B14" i="1"/>
  <c r="B18" i="1" s="1"/>
  <c r="D18" i="1" s="1"/>
  <c r="F5" i="1"/>
  <c r="F14" i="1" s="1"/>
  <c r="B20" i="1" s="1"/>
  <c r="D24" i="1" l="1"/>
  <c r="D19" i="1"/>
  <c r="D20" i="1"/>
  <c r="D21" i="1"/>
  <c r="D27" i="1"/>
  <c r="P9" i="1"/>
  <c r="Q9" i="1" s="1"/>
  <c r="P8" i="1"/>
  <c r="Q8" i="1" s="1"/>
  <c r="J14" i="1"/>
  <c r="B22" i="1" s="1"/>
  <c r="D22" i="1" s="1"/>
  <c r="Z14" i="1"/>
  <c r="B26" i="1" s="1"/>
  <c r="D26" i="1" s="1"/>
  <c r="V7" i="1"/>
  <c r="X7" i="1" s="1"/>
  <c r="P3" i="1"/>
  <c r="Q3" i="1" s="1"/>
  <c r="P4" i="1"/>
  <c r="Q4" i="1" s="1"/>
  <c r="P5" i="1"/>
  <c r="Q5" i="1" s="1"/>
  <c r="P6" i="1"/>
  <c r="Q6" i="1" s="1"/>
  <c r="V12" i="1"/>
  <c r="X12" i="1" s="1"/>
  <c r="A30" i="1" l="1"/>
  <c r="U14" i="1"/>
  <c r="B25" i="1" s="1"/>
  <c r="D25" i="1" s="1"/>
  <c r="N14" i="1"/>
  <c r="B23" i="1" s="1"/>
  <c r="D23" i="1" s="1"/>
  <c r="B30" i="1" s="1"/>
  <c r="C30" i="1" s="1"/>
</calcChain>
</file>

<file path=xl/sharedStrings.xml><?xml version="1.0" encoding="utf-8"?>
<sst xmlns="http://schemas.openxmlformats.org/spreadsheetml/2006/main" count="130" uniqueCount="65">
  <si>
    <t>Theme 1</t>
  </si>
  <si>
    <t>1a</t>
  </si>
  <si>
    <t>1b</t>
  </si>
  <si>
    <t>1c</t>
  </si>
  <si>
    <t>1d</t>
  </si>
  <si>
    <t>1e</t>
  </si>
  <si>
    <t>1f</t>
  </si>
  <si>
    <t>Theme 2</t>
  </si>
  <si>
    <t>2a</t>
  </si>
  <si>
    <t>Theme 3</t>
  </si>
  <si>
    <t>Theme 4</t>
  </si>
  <si>
    <t>Theme 5</t>
  </si>
  <si>
    <t>Indicator</t>
  </si>
  <si>
    <t>Score</t>
  </si>
  <si>
    <t>Weight</t>
  </si>
  <si>
    <t>5a</t>
  </si>
  <si>
    <t>5b</t>
  </si>
  <si>
    <t>5c</t>
  </si>
  <si>
    <t>5d</t>
  </si>
  <si>
    <t>5e</t>
  </si>
  <si>
    <t>Theme 6</t>
  </si>
  <si>
    <t>Theme score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</si>
  <si>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</si>
  <si>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</si>
  <si>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</si>
  <si>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</si>
  <si>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</si>
  <si>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</si>
  <si>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</si>
  <si>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</si>
  <si>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</si>
  <si>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Score*Weight</t>
  </si>
  <si>
    <t>6a</t>
  </si>
  <si>
    <t>6b</t>
  </si>
  <si>
    <t>6c</t>
  </si>
  <si>
    <t>6d</t>
  </si>
  <si>
    <t>6e</t>
  </si>
  <si>
    <t>6f1</t>
  </si>
  <si>
    <t>6f2</t>
  </si>
  <si>
    <t>Normalized Weight</t>
  </si>
  <si>
    <t>Theme 7</t>
  </si>
  <si>
    <t>7a</t>
  </si>
  <si>
    <t>Theme 8</t>
  </si>
  <si>
    <t>8a</t>
  </si>
  <si>
    <t>Asset Category</t>
  </si>
  <si>
    <t>Textiles</t>
  </si>
  <si>
    <t>Furniture</t>
  </si>
  <si>
    <t>Buildings</t>
  </si>
  <si>
    <t>Heavy Machinery</t>
  </si>
  <si>
    <t>8b</t>
  </si>
  <si>
    <t>IT equipment</t>
  </si>
  <si>
    <t>8a overall</t>
  </si>
  <si>
    <t>8b overall</t>
  </si>
  <si>
    <t>Theme 9</t>
  </si>
  <si>
    <t>9a</t>
  </si>
  <si>
    <t>9b</t>
  </si>
  <si>
    <t>9c</t>
  </si>
  <si>
    <t>9d</t>
  </si>
  <si>
    <t>Theme 10</t>
  </si>
  <si>
    <t>10a</t>
  </si>
  <si>
    <t>Theme weight</t>
  </si>
  <si>
    <t>Enablers Score</t>
  </si>
  <si>
    <t>Theme</t>
  </si>
  <si>
    <t>Outcomes Score</t>
  </si>
  <si>
    <t>Overall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</si>
</sst>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DDBF-4814-442D-8ADD-445427E8E8CB}">
  <dimension ref="A1:AE30"/>
  <sheetViews>
    <sheetView tabSelected="1" workbookViewId="0">
      <selection activeCell="F21" sqref="F21"/>
    </sheetView>
  </sheetViews>
  <sheetFormatPr defaultRowHeight="14.4" x14ac:dyDescent="0.55000000000000004"/>
  <cols>
    <col min="1" max="1" width="12.3125" bestFit="1" customWidth="1"/>
    <col min="2" max="2" width="13.734375" bestFit="1" customWidth="1"/>
    <col min="3" max="3" width="10.62890625" bestFit="1" customWidth="1"/>
    <col min="4" max="4" width="13.734375" bestFit="1" customWidth="1"/>
    <col min="5" max="5" width="10.62890625" bestFit="1" customWidth="1"/>
    <col min="7" max="7" width="11.41796875" bestFit="1" customWidth="1"/>
    <col min="16" max="16" width="15.47265625" bestFit="1" customWidth="1"/>
    <col min="25" max="25" width="10.62890625" bestFit="1" customWidth="1"/>
  </cols>
  <sheetData>
    <row r="1" spans="1:31" x14ac:dyDescent="0.55000000000000004">
      <c r="A1" t="s">
        <v>0</v>
      </c>
      <c r="C1" t="s">
        <v>7</v>
      </c>
      <c r="E1" t="s">
        <v>9</v>
      </c>
      <c r="G1" t="s">
        <v>10</v>
      </c>
      <c r="I1" t="s">
        <v>11</v>
      </c>
      <c r="M1" t="s">
        <v>20</v>
      </c>
      <c r="R1" t="s">
        <v>40</v>
      </c>
      <c r="T1" t="s">
        <v>42</v>
      </c>
      <c r="Y1" t="s">
        <v>53</v>
      </c>
      <c r="AD1" t="s">
        <v>58</v>
      </c>
    </row>
    <row r="2" spans="1:31" x14ac:dyDescent="0.55000000000000004">
      <c r="A2" t="s">
        <v>12</v>
      </c>
      <c r="B2" t="s">
        <v>13</v>
      </c>
      <c r="C2" t="s">
        <v>12</v>
      </c>
      <c r="D2" t="s">
        <v>13</v>
      </c>
      <c r="E2" t="s">
        <v>12</v>
      </c>
      <c r="F2" t="s">
        <v>13</v>
      </c>
      <c r="G2" t="s">
        <v>12</v>
      </c>
      <c r="H2" t="s">
        <v>13</v>
      </c>
      <c r="I2" t="s">
        <v>12</v>
      </c>
      <c r="J2" t="s">
        <v>13</v>
      </c>
      <c r="K2" t="s">
        <v>14</v>
      </c>
      <c r="L2" t="s">
        <v>31</v>
      </c>
      <c r="M2" t="s">
        <v>12</v>
      </c>
      <c r="N2" t="s">
        <v>13</v>
      </c>
      <c r="O2" t="s">
        <v>14</v>
      </c>
      <c r="P2" t="s">
        <v>39</v>
      </c>
      <c r="Q2" t="s">
        <v>31</v>
      </c>
      <c r="R2" t="s">
        <v>12</v>
      </c>
      <c r="S2" t="s">
        <v>13</v>
      </c>
      <c r="T2" t="s">
        <v>12</v>
      </c>
      <c r="U2" t="s">
        <v>44</v>
      </c>
      <c r="V2" t="s">
        <v>13</v>
      </c>
      <c r="W2" t="s">
        <v>14</v>
      </c>
      <c r="X2" t="s">
        <v>31</v>
      </c>
      <c r="Y2" t="s">
        <v>12</v>
      </c>
      <c r="Z2" t="s">
        <v>13</v>
      </c>
      <c r="AA2" t="s">
        <v>14</v>
      </c>
      <c r="AB2" t="s">
        <v>39</v>
      </c>
      <c r="AC2" t="s">
        <v>31</v>
      </c>
      <c r="AD2" t="s">
        <v>12</v>
      </c>
      <c r="AE2" t="s">
        <v>13</v>
      </c>
    </row>
    <row r="3" spans="1:31" x14ac:dyDescent="0.55000000000000004">
      <c r="A3" t="s">
        <v>1</v>
      </c>
      <c r="B3">
        <v>0.33</v>
      </c>
      <c r="C3" t="s">
        <v>8</v>
      </c>
      <c r="D3">
        <v>0.33</v>
      </c>
      <c r="E3" t="s">
        <v>25</v>
      </c>
      <c r="F3">
        <v>1</v>
      </c>
      <c r="G3" t="s">
        <v>29</v>
      </c>
      <c r="H3">
        <v>1</v>
      </c>
      <c r="I3" t="s">
        <v>15</v>
      </c>
      <c r="J3">
        <v>1</v>
      </c>
      <c r="K3">
        <v>0.3</v>
      </c>
      <c r="L3">
        <f>J3*K3</f>
        <v>0.3</v>
      </c>
      <c r="M3" t="s">
        <v>32</v>
      </c>
      <c r="N3">
        <v>0.57499999999999996</v>
      </c>
      <c r="O3">
        <v>100</v>
      </c>
      <c r="P3">
        <f>O3/SUM($O$3:$O$9)</f>
        <v>0.2484472049689441</v>
      </c>
      <c r="Q3">
        <f>N3*P3</f>
        <v>0.14285714285714285</v>
      </c>
      <c r="R3" t="s">
        <v>41</v>
      </c>
      <c r="S3">
        <v>0.5</v>
      </c>
      <c r="T3" t="s">
        <v>43</v>
      </c>
      <c r="U3" t="s">
        <v>45</v>
      </c>
      <c r="V3">
        <v>1</v>
      </c>
      <c r="W3" s="2">
        <f>(2/32)*3/4</f>
        <v>4.6875E-2</v>
      </c>
      <c r="X3">
        <f t="shared" ref="X3:X12" si="0">V3*W3</f>
        <v>4.6875E-2</v>
      </c>
      <c r="Y3" t="s">
        <v>54</v>
      </c>
      <c r="Z3">
        <v>0.75</v>
      </c>
      <c r="AA3">
        <v>4</v>
      </c>
      <c r="AB3">
        <f>AA3/SUM($AA$3:$AA$6)</f>
        <v>0.2857142857142857</v>
      </c>
      <c r="AC3">
        <f>Z3*AB3</f>
        <v>0.21428571428571427</v>
      </c>
      <c r="AD3" t="s">
        <v>59</v>
      </c>
      <c r="AE3">
        <v>0.5</v>
      </c>
    </row>
    <row r="4" spans="1:31" x14ac:dyDescent="0.55000000000000004">
      <c r="A4" t="s">
        <v>2</v>
      </c>
      <c r="B4">
        <v>0.33</v>
      </c>
      <c r="D4">
        <v>0.67</v>
      </c>
      <c r="E4" t="s">
        <v>26</v>
      </c>
      <c r="F4">
        <v>0.33</v>
      </c>
      <c r="G4" t="s">
        <v>30</v>
      </c>
      <c r="H4">
        <v>1</v>
      </c>
      <c r="I4" t="s">
        <v>16</v>
      </c>
      <c r="J4">
        <v>1</v>
      </c>
      <c r="K4">
        <v>0.3</v>
      </c>
      <c r="L4">
        <f>J4*K4</f>
        <v>0.3</v>
      </c>
      <c r="M4" t="s">
        <v>33</v>
      </c>
      <c r="N4">
        <v>0.4</v>
      </c>
      <c r="O4">
        <v>10</v>
      </c>
      <c r="P4">
        <f>O4/SUM($O$3:$O$9)</f>
        <v>2.4844720496894408E-2</v>
      </c>
      <c r="Q4">
        <f t="shared" ref="Q4:Q9" si="1">N4*P4</f>
        <v>9.9378881987577643E-3</v>
      </c>
      <c r="T4" t="s">
        <v>43</v>
      </c>
      <c r="U4" t="s">
        <v>46</v>
      </c>
      <c r="V4">
        <v>1</v>
      </c>
      <c r="W4" s="2">
        <v>0.25</v>
      </c>
      <c r="X4">
        <f t="shared" si="0"/>
        <v>0.25</v>
      </c>
      <c r="Y4" t="s">
        <v>55</v>
      </c>
      <c r="Z4">
        <v>0</v>
      </c>
      <c r="AA4">
        <v>4</v>
      </c>
      <c r="AB4">
        <f t="shared" ref="AB4:AB6" si="2">AA4/SUM($AA$3:$AA$6)</f>
        <v>0.2857142857142857</v>
      </c>
      <c r="AC4">
        <f t="shared" ref="AC4:AC6" si="3">Z4*AB4</f>
        <v>0</v>
      </c>
    </row>
    <row r="5" spans="1:31" x14ac:dyDescent="0.55000000000000004">
      <c r="A5" t="s">
        <v>3</v>
      </c>
      <c r="B5">
        <v>1</v>
      </c>
      <c r="C5" t="s">
        <v>22</v>
      </c>
      <c r="D5">
        <v>0.33</v>
      </c>
      <c r="E5" t="s">
        <v>27</v>
      </c>
      <c r="F5">
        <f>1.75/3</f>
        <v>0.58333333333333337</v>
      </c>
      <c r="I5" t="s">
        <v>17</v>
      </c>
      <c r="J5">
        <v>0.33</v>
      </c>
      <c r="K5">
        <v>0.15</v>
      </c>
      <c r="L5">
        <f>J5*K5</f>
        <v>4.9500000000000002E-2</v>
      </c>
      <c r="M5" t="s">
        <v>34</v>
      </c>
      <c r="N5">
        <v>0.6</v>
      </c>
      <c r="O5">
        <v>10</v>
      </c>
      <c r="P5">
        <f>O5/SUM($O$3:$O$9)</f>
        <v>2.4844720496894408E-2</v>
      </c>
      <c r="Q5">
        <f t="shared" si="1"/>
        <v>1.4906832298136644E-2</v>
      </c>
      <c r="T5" t="s">
        <v>43</v>
      </c>
      <c r="U5" t="s">
        <v>47</v>
      </c>
      <c r="V5">
        <v>0.5</v>
      </c>
      <c r="W5" s="2">
        <f>(10/32)*3/4</f>
        <v>0.234375</v>
      </c>
      <c r="X5">
        <f t="shared" si="0"/>
        <v>0.1171875</v>
      </c>
      <c r="Y5" t="s">
        <v>56</v>
      </c>
      <c r="Z5">
        <v>1</v>
      </c>
      <c r="AA5">
        <v>3</v>
      </c>
      <c r="AB5">
        <f t="shared" si="2"/>
        <v>0.21428571428571427</v>
      </c>
      <c r="AC5">
        <f t="shared" si="3"/>
        <v>0.21428571428571427</v>
      </c>
    </row>
    <row r="6" spans="1:31" x14ac:dyDescent="0.55000000000000004">
      <c r="A6" t="s">
        <v>4</v>
      </c>
      <c r="B6">
        <v>1</v>
      </c>
      <c r="D6">
        <v>0.33</v>
      </c>
      <c r="E6" t="s">
        <v>28</v>
      </c>
      <c r="F6">
        <v>0.9</v>
      </c>
      <c r="I6" t="s">
        <v>18</v>
      </c>
      <c r="J6">
        <v>0.67</v>
      </c>
      <c r="K6">
        <v>0.15</v>
      </c>
      <c r="L6">
        <f>J6*K6</f>
        <v>0.10050000000000001</v>
      </c>
      <c r="M6" t="s">
        <v>35</v>
      </c>
      <c r="N6">
        <v>0.6</v>
      </c>
      <c r="O6">
        <v>100</v>
      </c>
      <c r="P6">
        <f>O6/SUM($O$3:$O$9)</f>
        <v>0.2484472049689441</v>
      </c>
      <c r="Q6">
        <f t="shared" si="1"/>
        <v>0.14906832298136646</v>
      </c>
      <c r="T6" t="s">
        <v>43</v>
      </c>
      <c r="U6" t="s">
        <v>48</v>
      </c>
      <c r="V6">
        <v>0</v>
      </c>
      <c r="W6" s="2">
        <f>(20/32)*3/4</f>
        <v>0.46875</v>
      </c>
      <c r="X6">
        <f t="shared" si="0"/>
        <v>0</v>
      </c>
      <c r="Y6" t="s">
        <v>57</v>
      </c>
      <c r="Z6">
        <v>0.5</v>
      </c>
      <c r="AA6">
        <v>3</v>
      </c>
      <c r="AB6">
        <f t="shared" si="2"/>
        <v>0.21428571428571427</v>
      </c>
      <c r="AC6">
        <f t="shared" si="3"/>
        <v>0.10714285714285714</v>
      </c>
    </row>
    <row r="7" spans="1:31" x14ac:dyDescent="0.55000000000000004">
      <c r="A7" t="s">
        <v>5</v>
      </c>
      <c r="B7">
        <v>0.5</v>
      </c>
      <c r="C7" t="s">
        <v>23</v>
      </c>
      <c r="D7">
        <v>0</v>
      </c>
      <c r="I7" t="s">
        <v>19</v>
      </c>
      <c r="J7">
        <v>1</v>
      </c>
      <c r="K7">
        <v>0.1</v>
      </c>
      <c r="L7">
        <f>J7*K7</f>
        <v>0.1</v>
      </c>
      <c r="M7" t="s">
        <v>36</v>
      </c>
      <c r="N7">
        <v>1</v>
      </c>
      <c r="O7">
        <v>120</v>
      </c>
      <c r="P7">
        <f t="shared" ref="P7:P9" si="4">O7/SUM($O$3:$O$9)</f>
        <v>0.29813664596273293</v>
      </c>
      <c r="Q7">
        <f t="shared" si="1"/>
        <v>0.29813664596273293</v>
      </c>
      <c r="T7" t="s">
        <v>51</v>
      </c>
      <c r="V7">
        <f>SUM(X3:X6)</f>
        <v>0.4140625</v>
      </c>
      <c r="W7" s="3">
        <f>32/53</f>
        <v>0.60377358490566035</v>
      </c>
      <c r="X7">
        <f t="shared" si="0"/>
        <v>0.25</v>
      </c>
    </row>
    <row r="8" spans="1:31" x14ac:dyDescent="0.55000000000000004">
      <c r="A8" t="s">
        <v>6</v>
      </c>
      <c r="B8">
        <v>0</v>
      </c>
      <c r="D8">
        <v>0.67</v>
      </c>
      <c r="M8" t="s">
        <v>37</v>
      </c>
      <c r="N8">
        <v>0.35</v>
      </c>
      <c r="O8">
        <v>50</v>
      </c>
      <c r="P8">
        <f t="shared" si="4"/>
        <v>0.12422360248447205</v>
      </c>
      <c r="Q8">
        <f t="shared" si="1"/>
        <v>4.3478260869565216E-2</v>
      </c>
      <c r="T8" t="s">
        <v>49</v>
      </c>
      <c r="U8" t="s">
        <v>50</v>
      </c>
      <c r="V8">
        <v>0</v>
      </c>
      <c r="W8">
        <f>1/4</f>
        <v>0.25</v>
      </c>
      <c r="X8">
        <f t="shared" si="0"/>
        <v>0</v>
      </c>
    </row>
    <row r="9" spans="1:31" x14ac:dyDescent="0.55000000000000004">
      <c r="C9" t="s">
        <v>24</v>
      </c>
      <c r="D9">
        <v>0.33</v>
      </c>
      <c r="M9" t="s">
        <v>38</v>
      </c>
      <c r="N9">
        <v>2</v>
      </c>
      <c r="O9">
        <f>O8*0.25</f>
        <v>12.5</v>
      </c>
      <c r="P9">
        <f t="shared" si="4"/>
        <v>3.1055900621118012E-2</v>
      </c>
      <c r="Q9">
        <f t="shared" si="1"/>
        <v>6.2111801242236024E-2</v>
      </c>
      <c r="T9" t="s">
        <v>49</v>
      </c>
      <c r="U9" t="s">
        <v>45</v>
      </c>
      <c r="V9">
        <v>0.25</v>
      </c>
      <c r="W9" s="2">
        <f>3/84</f>
        <v>3.5714285714285712E-2</v>
      </c>
      <c r="X9">
        <f t="shared" si="0"/>
        <v>8.9285714285714281E-3</v>
      </c>
    </row>
    <row r="10" spans="1:31" x14ac:dyDescent="0.55000000000000004">
      <c r="D10">
        <v>1</v>
      </c>
      <c r="T10" t="s">
        <v>49</v>
      </c>
      <c r="U10" t="s">
        <v>47</v>
      </c>
      <c r="V10">
        <v>0.5</v>
      </c>
      <c r="W10" s="2">
        <f>30/84</f>
        <v>0.35714285714285715</v>
      </c>
      <c r="X10">
        <f t="shared" si="0"/>
        <v>0.17857142857142858</v>
      </c>
    </row>
    <row r="11" spans="1:31" x14ac:dyDescent="0.55000000000000004">
      <c r="T11" t="s">
        <v>49</v>
      </c>
      <c r="U11" t="s">
        <v>48</v>
      </c>
      <c r="V11">
        <v>1</v>
      </c>
      <c r="W11" s="2">
        <f>30/84</f>
        <v>0.35714285714285715</v>
      </c>
      <c r="X11">
        <f t="shared" si="0"/>
        <v>0.35714285714285715</v>
      </c>
    </row>
    <row r="12" spans="1:31" x14ac:dyDescent="0.55000000000000004">
      <c r="T12" t="s">
        <v>52</v>
      </c>
      <c r="V12" s="3">
        <f>SUM(X8:X11)</f>
        <v>0.54464285714285721</v>
      </c>
      <c r="W12">
        <f>21/53</f>
        <v>0.39622641509433965</v>
      </c>
      <c r="X12">
        <f t="shared" si="0"/>
        <v>0.21580188679245288</v>
      </c>
    </row>
    <row r="13" spans="1:31" x14ac:dyDescent="0.55000000000000004">
      <c r="A13" t="s">
        <v>0</v>
      </c>
      <c r="C13" t="s">
        <v>7</v>
      </c>
      <c r="E13" t="s">
        <v>9</v>
      </c>
      <c r="G13" t="s">
        <v>10</v>
      </c>
      <c r="I13" t="s">
        <v>11</v>
      </c>
      <c r="M13" t="s">
        <v>20</v>
      </c>
      <c r="R13" t="s">
        <v>40</v>
      </c>
      <c r="T13" t="s">
        <v>42</v>
      </c>
      <c r="V13" s="2"/>
      <c r="Y13" t="s">
        <v>53</v>
      </c>
      <c r="AD13" t="s">
        <v>58</v>
      </c>
    </row>
    <row r="14" spans="1:31" x14ac:dyDescent="0.55000000000000004">
      <c r="A14" t="s">
        <v>21</v>
      </c>
      <c r="B14">
        <f>AVERAGE(B3:B8)</f>
        <v>0.52666666666666673</v>
      </c>
      <c r="C14" t="s">
        <v>21</v>
      </c>
      <c r="D14" s="1">
        <f>AVERAGE(D3:D10)</f>
        <v>0.45750000000000002</v>
      </c>
      <c r="E14" t="s">
        <v>21</v>
      </c>
      <c r="F14">
        <f>AVERAGE(F3:F6)</f>
        <v>0.70333333333333337</v>
      </c>
      <c r="G14" t="s">
        <v>21</v>
      </c>
      <c r="H14">
        <f>AVERAGE(H3:H4)</f>
        <v>1</v>
      </c>
      <c r="I14" t="s">
        <v>21</v>
      </c>
      <c r="J14">
        <f>SUM(L3:L7)</f>
        <v>0.85</v>
      </c>
      <c r="M14" t="s">
        <v>21</v>
      </c>
      <c r="N14">
        <f>SUM(Q3:Q9)</f>
        <v>0.7204968944099378</v>
      </c>
      <c r="R14" t="s">
        <v>21</v>
      </c>
      <c r="S14">
        <v>0.5</v>
      </c>
      <c r="T14" t="s">
        <v>21</v>
      </c>
      <c r="U14">
        <f>X7+X12</f>
        <v>0.46580188679245288</v>
      </c>
      <c r="V14" s="2"/>
      <c r="Y14" t="s">
        <v>21</v>
      </c>
      <c r="Z14">
        <f>SUM(AC3:AC6)</f>
        <v>0.5357142857142857</v>
      </c>
      <c r="AD14" t="s">
        <v>21</v>
      </c>
      <c r="AE14">
        <v>0.5</v>
      </c>
    </row>
    <row r="15" spans="1:31" x14ac:dyDescent="0.55000000000000004">
      <c r="A15" t="s">
        <v>60</v>
      </c>
      <c r="B15">
        <v>0.3</v>
      </c>
      <c r="C15" t="s">
        <v>60</v>
      </c>
      <c r="D15">
        <v>0.2</v>
      </c>
      <c r="E15" t="s">
        <v>60</v>
      </c>
      <c r="F15">
        <v>0.15</v>
      </c>
      <c r="G15" t="s">
        <v>60</v>
      </c>
      <c r="H15">
        <v>0.15</v>
      </c>
      <c r="I15" t="s">
        <v>60</v>
      </c>
      <c r="J15">
        <v>0.2</v>
      </c>
      <c r="M15" t="s">
        <v>60</v>
      </c>
      <c r="N15">
        <v>0.65</v>
      </c>
      <c r="R15" t="s">
        <v>60</v>
      </c>
      <c r="S15">
        <v>0.05</v>
      </c>
      <c r="T15" t="s">
        <v>60</v>
      </c>
      <c r="U15">
        <v>0.1</v>
      </c>
      <c r="Y15" t="s">
        <v>60</v>
      </c>
      <c r="Z15">
        <v>0.1</v>
      </c>
      <c r="AD15" t="s">
        <v>60</v>
      </c>
      <c r="AE15">
        <v>0.1</v>
      </c>
    </row>
    <row r="17" spans="1:4" x14ac:dyDescent="0.55000000000000004">
      <c r="A17" t="s">
        <v>62</v>
      </c>
      <c r="B17" t="s">
        <v>13</v>
      </c>
      <c r="C17" t="s">
        <v>14</v>
      </c>
      <c r="D17" t="s">
        <v>31</v>
      </c>
    </row>
    <row r="18" spans="1:4" x14ac:dyDescent="0.55000000000000004">
      <c r="A18">
        <v>1</v>
      </c>
      <c r="B18">
        <f>B14</f>
        <v>0.52666666666666673</v>
      </c>
      <c r="C18">
        <f>B15</f>
        <v>0.3</v>
      </c>
      <c r="D18">
        <f>C18*B18</f>
        <v>0.158</v>
      </c>
    </row>
    <row r="19" spans="1:4" x14ac:dyDescent="0.55000000000000004">
      <c r="A19">
        <v>2</v>
      </c>
      <c r="B19" s="1">
        <f>D14</f>
        <v>0.45750000000000002</v>
      </c>
      <c r="C19">
        <f>D15</f>
        <v>0.2</v>
      </c>
      <c r="D19">
        <f t="shared" ref="D19:D27" si="5">C19*B19</f>
        <v>9.1500000000000012E-2</v>
      </c>
    </row>
    <row r="20" spans="1:4" x14ac:dyDescent="0.55000000000000004">
      <c r="A20">
        <v>3</v>
      </c>
      <c r="B20">
        <f>F14</f>
        <v>0.70333333333333337</v>
      </c>
      <c r="C20">
        <f>F15</f>
        <v>0.15</v>
      </c>
      <c r="D20">
        <f t="shared" si="5"/>
        <v>0.1055</v>
      </c>
    </row>
    <row r="21" spans="1:4" x14ac:dyDescent="0.55000000000000004">
      <c r="A21">
        <v>4</v>
      </c>
      <c r="B21">
        <f>H14</f>
        <v>1</v>
      </c>
      <c r="C21">
        <f>H15</f>
        <v>0.15</v>
      </c>
      <c r="D21">
        <f t="shared" si="5"/>
        <v>0.15</v>
      </c>
    </row>
    <row r="22" spans="1:4" x14ac:dyDescent="0.55000000000000004">
      <c r="A22">
        <v>5</v>
      </c>
      <c r="B22">
        <f>J14</f>
        <v>0.85</v>
      </c>
      <c r="C22">
        <f>J15</f>
        <v>0.2</v>
      </c>
      <c r="D22">
        <f t="shared" si="5"/>
        <v>0.17</v>
      </c>
    </row>
    <row r="23" spans="1:4" x14ac:dyDescent="0.55000000000000004">
      <c r="A23">
        <v>6</v>
      </c>
      <c r="B23">
        <f>N14</f>
        <v>0.7204968944099378</v>
      </c>
      <c r="C23">
        <f>N15</f>
        <v>0.65</v>
      </c>
      <c r="D23">
        <f t="shared" si="5"/>
        <v>0.46832298136645961</v>
      </c>
    </row>
    <row r="24" spans="1:4" x14ac:dyDescent="0.55000000000000004">
      <c r="A24">
        <v>7</v>
      </c>
      <c r="B24">
        <f>S14</f>
        <v>0.5</v>
      </c>
      <c r="C24">
        <f>S15</f>
        <v>0.05</v>
      </c>
      <c r="D24">
        <f t="shared" si="5"/>
        <v>2.5000000000000001E-2</v>
      </c>
    </row>
    <row r="25" spans="1:4" x14ac:dyDescent="0.55000000000000004">
      <c r="A25">
        <v>8</v>
      </c>
      <c r="B25">
        <f>U14</f>
        <v>0.46580188679245288</v>
      </c>
      <c r="C25">
        <f>U15</f>
        <v>0.1</v>
      </c>
      <c r="D25">
        <f t="shared" si="5"/>
        <v>4.6580188679245293E-2</v>
      </c>
    </row>
    <row r="26" spans="1:4" x14ac:dyDescent="0.55000000000000004">
      <c r="A26">
        <v>9</v>
      </c>
      <c r="B26">
        <f>Z14</f>
        <v>0.5357142857142857</v>
      </c>
      <c r="C26">
        <f>Z15</f>
        <v>0.1</v>
      </c>
      <c r="D26">
        <f t="shared" si="5"/>
        <v>5.3571428571428575E-2</v>
      </c>
    </row>
    <row r="27" spans="1:4" x14ac:dyDescent="0.55000000000000004">
      <c r="A27">
        <v>10</v>
      </c>
      <c r="B27">
        <f>AE14</f>
        <v>0.5</v>
      </c>
      <c r="C27">
        <f>AE15</f>
        <v>0.1</v>
      </c>
      <c r="D27">
        <f t="shared" si="5"/>
        <v>0.05</v>
      </c>
    </row>
    <row r="29" spans="1:4" x14ac:dyDescent="0.55000000000000004">
      <c r="A29" t="s">
        <v>61</v>
      </c>
      <c r="B29" t="s">
        <v>63</v>
      </c>
      <c r="C29" s="4" t="s">
        <v>64</v>
      </c>
    </row>
    <row r="30" spans="1:4" x14ac:dyDescent="0.55000000000000004">
      <c r="A30">
        <f>SUM(D18:D22)</f>
        <v>0.67500000000000004</v>
      </c>
      <c r="B30">
        <f>SUM(D23:D27)</f>
        <v>0.64347459861713352</v>
      </c>
      <c r="C30" s="4">
        <f>0.5*(A30+B30)</f>
        <v>0.65923729930856678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Pert</dc:creator>
  <cp:lastModifiedBy>Daniel Pert</cp:lastModifiedBy>
  <dcterms:created xsi:type="dcterms:W3CDTF">2026-01-02T15:26:28Z</dcterms:created>
  <dcterms:modified xsi:type="dcterms:W3CDTF">2026-01-02T20:40:39Z</dcterms:modified>
</cp:coreProperties>
</file>